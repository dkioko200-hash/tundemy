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hat Claude Costs You" sheetId="1" state="visible" r:id="rId3"/>
    <sheet name="Assumptions" sheetId="2" state="visible" r:id="rId4"/>
    <sheet name="90-Day ROI Model" sheetId="3" state="visible" r:id="rId5"/>
    <sheet name="Break-Even &amp; Payba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<sst xmlns="http://schemas.openxmlformats.org/spreadsheetml/2006/main" count="221" uniqueCount="180">
  <si>
    <t xml:space="preserve">WHAT DOES IT COST FOR CLAUDE TO RUN THIS END-TO-END?</t>
  </si>
  <si>
    <t xml:space="preserve">Tundemy Kenya Marketing — Cost of Goods (Monthly)</t>
  </si>
  <si>
    <t xml:space="preserve">BLUE = Your input (change these)</t>
  </si>
  <si>
    <t xml:space="preserve">BLACK = Calculated</t>
  </si>
  <si>
    <t xml:space="preserve">GREEN = Good</t>
  </si>
  <si>
    <t xml:space="preserve">SECTION A — WHAT CLAUDE RUNS FOR FREE (Included in Your Subscription)</t>
  </si>
  <si>
    <t xml:space="preserve">Task</t>
  </si>
  <si>
    <t xml:space="preserve">Cadence</t>
  </si>
  <si>
    <t xml:space="preserve">Mode</t>
  </si>
  <si>
    <t xml:space="preserve">Who Does It</t>
  </si>
  <si>
    <t xml:space="preserve">Monthly Cost</t>
  </si>
  <si>
    <t xml:space="preserve">Research &amp; build employer contact list (150 companies)</t>
  </si>
  <si>
    <t xml:space="preserve">Weekly</t>
  </si>
  <si>
    <t xml:space="preserve">Fully automated</t>
  </si>
  <si>
    <t xml:space="preserve">✅ Done by Claude</t>
  </si>
  <si>
    <t xml:space="preserve">KSh 0</t>
  </si>
  <si>
    <t xml:space="preserve">Draft &amp; personalise every email (3-touch per employer)</t>
  </si>
  <si>
    <t xml:space="preserve">Ongoing</t>
  </si>
  <si>
    <t xml:space="preserve">Write all Facebook posts (4/week)</t>
  </si>
  <si>
    <t xml:space="preserve">Write all WhatsApp broadcasts &amp; messages</t>
  </si>
  <si>
    <t xml:space="preserve">Analyse campaign results &amp; optimise</t>
  </si>
  <si>
    <t xml:space="preserve">A/B test messaging, rewrite underperformers</t>
  </si>
  <si>
    <t xml:space="preserve">Build weekly performance reports</t>
  </si>
  <si>
    <t xml:space="preserve">Strategy adjustments based on data</t>
  </si>
  <si>
    <t xml:space="preserve">Monthly</t>
  </si>
  <si>
    <t xml:space="preserve">SECTION B — WHAT STILL NEEDS A HUMAN (You or a VA)</t>
  </si>
  <si>
    <t xml:space="preserve">Cost Note</t>
  </si>
  <si>
    <t xml:space="preserve">Press SEND on emails (or connect email tool)</t>
  </si>
  <si>
    <t xml:space="preserve">Daily</t>
  </si>
  <si>
    <t xml:space="preserve">Manual click</t>
  </si>
  <si>
    <t xml:space="preserve">You / VA</t>
  </si>
  <si>
    <t xml:space="preserve">0 — or VA cost below</t>
  </si>
  <si>
    <t xml:space="preserve">Manage WhatsApp Business on your phone</t>
  </si>
  <si>
    <t xml:space="preserve">Manual</t>
  </si>
  <si>
    <t xml:space="preserve">Approve Facebook ad spend in Meta Ads Manager</t>
  </si>
  <si>
    <t xml:space="preserve">Manual approval</t>
  </si>
  <si>
    <t xml:space="preserve">You</t>
  </si>
  <si>
    <t xml:space="preserve">0 (5 min/week)</t>
  </si>
  <si>
    <t xml:space="preserve">Follow-up phone calls to warm employer leads</t>
  </si>
  <si>
    <t xml:space="preserve">Post in Facebook Groups (community building)</t>
  </si>
  <si>
    <t xml:space="preserve">3x/week</t>
  </si>
  <si>
    <t xml:space="preserve">Manual post</t>
  </si>
  <si>
    <t xml:space="preserve">SECTION C — RECOMMENDED MONTHLY TEAM COST</t>
  </si>
  <si>
    <t xml:space="preserve">Item</t>
  </si>
  <si>
    <t xml:space="preserve">Description</t>
  </si>
  <si>
    <t xml:space="preserve">Monthly (KSh)</t>
  </si>
  <si>
    <t xml:space="preserve">Monthly (USD ≈)</t>
  </si>
  <si>
    <t xml:space="preserve">Note</t>
  </si>
  <si>
    <t xml:space="preserve">Claude AI (Cowork)</t>
  </si>
  <si>
    <t xml:space="preserve">Full strategy, all content, all analysis, all optimisation</t>
  </si>
  <si>
    <t xml:space="preserve">—</t>
  </si>
  <si>
    <t xml:space="preserve">Already paying — KSh 0 extra</t>
  </si>
  <si>
    <t xml:space="preserve">Marketing VA (part-time)</t>
  </si>
  <si>
    <t xml:space="preserve">Executes sends, manages WhatsApp, posts in groups, makes calls</t>
  </si>
  <si>
    <t xml:space="preserve">Recommended: 20 hrs/week</t>
  </si>
  <si>
    <t xml:space="preserve">Facebook Pixel setup (once)</t>
  </si>
  <si>
    <t xml:space="preserve">One-time developer fee to install pixel on tundemy.com</t>
  </si>
  <si>
    <t xml:space="preserve">One-time, not monthly</t>
  </si>
  <si>
    <t xml:space="preserve">TOTAL MONTHLY TEAM</t>
  </si>
  <si>
    <t xml:space="preserve">MODEL ASSUMPTIONS — Change the blue cells to match your actual numbers</t>
  </si>
  <si>
    <t xml:space="preserve">BLUE = your inputs. All other sheets reference these cells. Update here first.</t>
  </si>
  <si>
    <t xml:space="preserve">  REVENUE — COURSES</t>
  </si>
  <si>
    <t xml:space="preserve">Average course price (KSh)</t>
  </si>
  <si>
    <t xml:space="preserve">Update to your actual price</t>
  </si>
  <si>
    <t xml:space="preserve">Tundemy margin on each course (%)</t>
  </si>
  <si>
    <t xml:space="preserve">Net after payment fees (~8% Pesapal)</t>
  </si>
  <si>
    <t xml:space="preserve">Avg courses per student per year</t>
  </si>
  <si>
    <t xml:space="preserve">Some buy a 2nd course</t>
  </si>
  <si>
    <t xml:space="preserve">  REVENUE — EMPLOYER SERVICES</t>
  </si>
  <si>
    <t xml:space="preserve">Talent profile unlock fee (KSh)</t>
  </si>
  <si>
    <t xml:space="preserve">Employer pays to see full contact + CV</t>
  </si>
  <si>
    <t xml:space="preserve">Job posting bundle (KSh)</t>
  </si>
  <si>
    <t xml:space="preserve">5-job bundle posted on platform</t>
  </si>
  <si>
    <t xml:space="preserve">Employer unlock margin (%)</t>
  </si>
  <si>
    <t xml:space="preserve">Near-pure margin — no delivery cost</t>
  </si>
  <si>
    <t xml:space="preserve">  EMAIL CAMPAIGN</t>
  </si>
  <si>
    <t xml:space="preserve">Employers emailed per month</t>
  </si>
  <si>
    <t xml:space="preserve">50 per week</t>
  </si>
  <si>
    <t xml:space="preserve">Email open rate</t>
  </si>
  <si>
    <t xml:space="preserve">Industry avg is 20%; AI skills = high interest</t>
  </si>
  <si>
    <t xml:space="preserve">Reply / positive response rate</t>
  </si>
  <si>
    <t xml:space="preserve">8% reply = 12 warm leads per month</t>
  </si>
  <si>
    <t xml:space="preserve">Replies that become job postings (%)</t>
  </si>
  <si>
    <t xml:space="preserve">4 of 10 warm leads post a job</t>
  </si>
  <si>
    <t xml:space="preserve">Job postings that buy an unlock (%)</t>
  </si>
  <si>
    <t xml:space="preserve">3 of 10 job posters buy unlock</t>
  </si>
  <si>
    <t xml:space="preserve">  FACEBOOK — ORGANIC</t>
  </si>
  <si>
    <t xml:space="preserve">Page reach per post (people)</t>
  </si>
  <si>
    <t xml:space="preserve">Realistic for a new page with good content</t>
  </si>
  <si>
    <t xml:space="preserve">Click-through rate from organic (%)</t>
  </si>
  <si>
    <t xml:space="preserve">2% of reach clicks through to site</t>
  </si>
  <si>
    <t xml:space="preserve">Site visitor to lead conversion (%)</t>
  </si>
  <si>
    <t xml:space="preserve">8% submit email on landing page</t>
  </si>
  <si>
    <t xml:space="preserve">Lead to paid enrollment (%)</t>
  </si>
  <si>
    <t xml:space="preserve">12% of leads buy within 30 days</t>
  </si>
  <si>
    <t xml:space="preserve">  FACEBOOK — PAID ADS</t>
  </si>
  <si>
    <t xml:space="preserve">Monthly ad budget (KSh)</t>
  </si>
  <si>
    <t xml:space="preserve">KSh 3,000/day as per strategy doc</t>
  </si>
  <si>
    <t xml:space="preserve">Cost per lead from ads (KSh)</t>
  </si>
  <si>
    <t xml:space="preserve">Target — optimise toward this</t>
  </si>
  <si>
    <t xml:space="preserve">Lead to paid enrollment (paid ad) (%)</t>
  </si>
  <si>
    <t xml:space="preserve">Slightly higher: more targeted</t>
  </si>
  <si>
    <t xml:space="preserve">  WHATSAPP</t>
  </si>
  <si>
    <t xml:space="preserve">Broadcast list size (end of month 1)</t>
  </si>
  <si>
    <t xml:space="preserve">500 contacts by end of month 1</t>
  </si>
  <si>
    <t xml:space="preserve">Message open rate (%)</t>
  </si>
  <si>
    <t xml:space="preserve">WhatsApp open rate is 85–98% in Kenya</t>
  </si>
  <si>
    <t xml:space="preserve">WA lead to enrollment (%)</t>
  </si>
  <si>
    <t xml:space="preserve">7% of broadcast list converts</t>
  </si>
  <si>
    <t xml:space="preserve">Referrals generated per month</t>
  </si>
  <si>
    <t xml:space="preserve">From referral programme</t>
  </si>
  <si>
    <t xml:space="preserve">Referral conversion rate (%)</t>
  </si>
  <si>
    <t xml:space="preserve">25% of referred contacts enroll</t>
  </si>
  <si>
    <t xml:space="preserve">  TOOL COSTS (Monthly KSh)</t>
  </si>
  <si>
    <t xml:space="preserve">Facebook ads budget</t>
  </si>
  <si>
    <t xml:space="preserve">See Paid Ads section above</t>
  </si>
  <si>
    <t xml:space="preserve">Apollo.io / email finding tool</t>
  </si>
  <si>
    <t xml:space="preserve">Find verified employer emails</t>
  </si>
  <si>
    <t xml:space="preserve">Canva Pro (design)</t>
  </si>
  <si>
    <t xml:space="preserve">All graphics and social assets</t>
  </si>
  <si>
    <t xml:space="preserve">Brevo CRM (email sequences)</t>
  </si>
  <si>
    <t xml:space="preserve">Email automation platform</t>
  </si>
  <si>
    <t xml:space="preserve">VA salary (part-time)</t>
  </si>
  <si>
    <t xml:space="preserve">Execution: sends, WhatsApp, calls</t>
  </si>
  <si>
    <t xml:space="preserve">Miscellaneous / buffer (10%)</t>
  </si>
  <si>
    <t xml:space="preserve">TUNDEMY — 90-DAY ROI MODEL (3 Scenarios)</t>
  </si>
  <si>
    <t xml:space="preserve">Metric</t>
  </si>
  <si>
    <t xml:space="preserve">Month 1 — Conservative</t>
  </si>
  <si>
    <t xml:space="preserve">Month 1 — Base Case</t>
  </si>
  <si>
    <t xml:space="preserve">Month 1 — Optimistic</t>
  </si>
  <si>
    <t xml:space="preserve">Month 2 — Base</t>
  </si>
  <si>
    <t xml:space="preserve">Month 3 — Base</t>
  </si>
  <si>
    <t xml:space="preserve">3-Month Total — Base</t>
  </si>
  <si>
    <t xml:space="preserve">STUDENTS ACQUIRED (paying enrollments)</t>
  </si>
  <si>
    <t xml:space="preserve">From Facebook Paid Ads</t>
  </si>
  <si>
    <t xml:space="preserve">From Facebook Organic</t>
  </si>
  <si>
    <t xml:space="preserve">From WhatsApp Broadcasts</t>
  </si>
  <si>
    <t xml:space="preserve">From Email Referrals to Students</t>
  </si>
  <si>
    <t xml:space="preserve">TOTAL STUDENTS</t>
  </si>
  <si>
    <t xml:space="preserve">EMPLOYERS ENGAGED &amp; REVENUE</t>
  </si>
  <si>
    <t xml:space="preserve">Warm employer replies (from email)</t>
  </si>
  <si>
    <t xml:space="preserve">Job postings secured</t>
  </si>
  <si>
    <t xml:space="preserve">Talent profile unlocks sold</t>
  </si>
  <si>
    <t xml:space="preserve">REVENUE (KSh)</t>
  </si>
  <si>
    <t xml:space="preserve">Course revenue</t>
  </si>
  <si>
    <t xml:space="preserve">Talent unlock revenue</t>
  </si>
  <si>
    <t xml:space="preserve">Job posting bundle revenue</t>
  </si>
  <si>
    <t xml:space="preserve">TOTAL REVENUE</t>
  </si>
  <si>
    <t xml:space="preserve">COSTS (KSh)</t>
  </si>
  <si>
    <t xml:space="preserve">Facebook Ads</t>
  </si>
  <si>
    <t xml:space="preserve">Tools (Apollo, Canva, Brevo)</t>
  </si>
  <si>
    <t xml:space="preserve">VA salary (execution)</t>
  </si>
  <si>
    <t xml:space="preserve">Buffer / misc (10%)</t>
  </si>
  <si>
    <t xml:space="preserve">TOTAL COSTS</t>
  </si>
  <si>
    <t xml:space="preserve">NET PROFIT &amp; RETURN ON SPEND</t>
  </si>
  <si>
    <t xml:space="preserve">NET PROFIT (Revenue − Costs)</t>
  </si>
  <si>
    <t xml:space="preserve">Return on Ad Spend (ROAS)</t>
  </si>
  <si>
    <t xml:space="preserve">ROI %</t>
  </si>
  <si>
    <t xml:space="preserve">Cost to acquire 1 student (CAC)</t>
  </si>
  <si>
    <t xml:space="preserve">Revenue per student (LTV proxy)</t>
  </si>
  <si>
    <t xml:space="preserve">BREAK-EVEN ANALYSIS &amp; PAYBACK PERIOD</t>
  </si>
  <si>
    <t xml:space="preserve">  BREAK-EVEN</t>
  </si>
  <si>
    <t xml:space="preserve">Monthly fixed costs (KSh)</t>
  </si>
  <si>
    <t xml:space="preserve">Revenue per student (KSh)</t>
  </si>
  <si>
    <t xml:space="preserve">Students needed to break even</t>
  </si>
  <si>
    <t xml:space="preserve">Base-case students (Month 1)</t>
  </si>
  <si>
    <t xml:space="preserve">Break-even reached?</t>
  </si>
  <si>
    <t xml:space="preserve">  PAYBACK PERIOD</t>
  </si>
  <si>
    <t xml:space="preserve">Cumulative cost Month 1 (KSh)</t>
  </si>
  <si>
    <t xml:space="preserve">Cumulative revenue Month 1 (KSh)</t>
  </si>
  <si>
    <t xml:space="preserve">Cumulative cost Month 2 (KSh)</t>
  </si>
  <si>
    <t xml:space="preserve">Cumulative revenue Month 2 (KSh)</t>
  </si>
  <si>
    <t xml:space="preserve">Cumulative cost Month 3 (KSh)</t>
  </si>
  <si>
    <t xml:space="preserve">Cumulative revenue Month 3 (KSh)</t>
  </si>
  <si>
    <t xml:space="preserve">NET cumulative (end Month 3)</t>
  </si>
  <si>
    <t xml:space="preserve">  UNIT ECONOMICS</t>
  </si>
  <si>
    <t xml:space="preserve">Customer Acquisition Cost (CAC)</t>
  </si>
  <si>
    <t xml:space="preserve">Average Revenue Per User (ARPU)</t>
  </si>
  <si>
    <t xml:space="preserve">LTV:CAC ratio (target &gt; 3x)</t>
  </si>
  <si>
    <t xml:space="preserve">Months to recover CAC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</si>
</sst>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KSh&quot;"/>
    <numFmt numFmtId="166" formatCode="&quot;~$&quot;#,##0"/>
    <numFmt numFmtId="167" formatCode="0.0%"/>
    <numFmt numFmtId="168" formatCode="#,##0.0"/>
    <numFmt numFmtId="169" formatCode="#,##0"/>
    <numFmt numFmtId="170" formatCode="0.0\x"/>
    <numFmt numFmtId="171" formatCode="#,##0&quot; students&quot;"/>
    <numFmt numFmtId="172" formatCode="\~0.0&quot; months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2D8A4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D8A4E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D8A4E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1D4ED8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F1F3D"/>
        <bgColor rgb="FF333333"/>
      </patternFill>
    </fill>
    <fill>
      <patternFill patternType="solid">
        <fgColor rgb="FFF3F4F6"/>
        <bgColor rgb="FFEFF6FF"/>
      </patternFill>
    </fill>
    <fill>
      <patternFill patternType="solid">
        <fgColor rgb="FFEFF6FF"/>
        <bgColor rgb="FFF3F4F6"/>
      </patternFill>
    </fill>
    <fill>
      <patternFill patternType="solid">
        <fgColor rgb="FFFFFFFF"/>
        <bgColor rgb="FFF3F4F6"/>
      </patternFill>
    </fill>
    <fill>
      <patternFill patternType="solid">
        <fgColor rgb="FFD1FAE5"/>
        <bgColor rgb="FFEFF6FF"/>
      </patternFill>
    </fill>
    <fill>
      <patternFill patternType="solid">
        <fgColor rgb="FF2D8A4E"/>
        <bgColor rgb="FF008080"/>
      </patternFill>
    </fill>
    <fill>
      <patternFill patternType="solid">
        <fgColor rgb="FFF59E0B"/>
        <bgColor rgb="FFFFCC00"/>
      </patternFill>
    </fill>
    <fill>
      <patternFill patternType="solid">
        <fgColor rgb="FFFEF3C7"/>
        <bgColor rgb="FFFEE2E2"/>
      </patternFill>
    </fill>
    <fill>
      <patternFill patternType="solid">
        <fgColor rgb="FFDC2626"/>
        <bgColor rgb="FF993300"/>
      </patternFill>
    </fill>
    <fill>
      <patternFill patternType="solid">
        <fgColor rgb="FF7C3AED"/>
        <bgColor rgb="FF993366"/>
      </patternFill>
    </fill>
    <fill>
      <patternFill patternType="solid">
        <fgColor rgb="FFFEE2E2"/>
        <bgColor rgb="FFEDE9FE"/>
      </patternFill>
    </fill>
    <fill>
      <patternFill patternType="solid">
        <fgColor rgb="FFEDE9FE"/>
        <bgColor rgb="FFF3F4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EF3C7"/>
      <rgbColor rgb="FFEFF6FF"/>
      <rgbColor rgb="FF660066"/>
      <rgbColor rgb="FFFF8080"/>
      <rgbColor rgb="FF1D4ED8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59E0B"/>
      <rgbColor rgb="FFFF6600"/>
      <rgbColor rgb="FF6B7280"/>
      <rgbColor rgb="FF969696"/>
      <rgbColor rgb="FF0F1F3D"/>
      <rgbColor rgb="FF2D8A4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3" style="1" width="26"/>
    <col collapsed="false" customWidth="true" hidden="false" outlineLevel="0" max="5" min="5" style="1" width="22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</row>
    <row r="3" customFormat="false" ht="19.5" hidden="false" customHeight="true" outlineLevel="0" collapsed="false">
      <c r="A3" s="4" t="s">
        <v>2</v>
      </c>
      <c r="B3" s="5" t="s">
        <v>3</v>
      </c>
      <c r="C3" s="6" t="s">
        <v>4</v>
      </c>
    </row>
    <row r="4" customFormat="false" ht="7.5" hidden="false" customHeight="true" outlineLevel="0" collapsed="false"/>
    <row r="5" customFormat="false" ht="24" hidden="false" customHeight="true" outlineLevel="0" collapsed="false">
      <c r="A5" s="7" t="s">
        <v>5</v>
      </c>
      <c r="B5" s="7"/>
      <c r="C5" s="7"/>
      <c r="D5" s="7"/>
      <c r="E5" s="7"/>
    </row>
    <row r="6" customFormat="false" ht="19.5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</row>
    <row r="7" customFormat="false" ht="18" hidden="false" customHeight="true" outlineLevel="0" collapsed="false">
      <c r="A7" s="9" t="s">
        <v>11</v>
      </c>
      <c r="B7" s="10" t="s">
        <v>12</v>
      </c>
      <c r="C7" s="10" t="s">
        <v>13</v>
      </c>
      <c r="D7" s="10" t="s">
        <v>14</v>
      </c>
      <c r="E7" s="11" t="s">
        <v>15</v>
      </c>
    </row>
    <row r="8" customFormat="false" ht="18" hidden="false" customHeight="true" outlineLevel="0" collapsed="false">
      <c r="A8" s="12" t="s">
        <v>16</v>
      </c>
      <c r="B8" s="13" t="s">
        <v>17</v>
      </c>
      <c r="C8" s="13" t="s">
        <v>13</v>
      </c>
      <c r="D8" s="13" t="s">
        <v>14</v>
      </c>
      <c r="E8" s="14" t="s">
        <v>15</v>
      </c>
    </row>
    <row r="9" customFormat="false" ht="18" hidden="false" customHeight="true" outlineLevel="0" collapsed="false">
      <c r="A9" s="9" t="s">
        <v>18</v>
      </c>
      <c r="B9" s="10" t="s">
        <v>12</v>
      </c>
      <c r="C9" s="10" t="s">
        <v>13</v>
      </c>
      <c r="D9" s="10" t="s">
        <v>14</v>
      </c>
      <c r="E9" s="11" t="s">
        <v>15</v>
      </c>
    </row>
    <row r="10" customFormat="false" ht="18" hidden="false" customHeight="true" outlineLevel="0" collapsed="false">
      <c r="A10" s="12" t="s">
        <v>19</v>
      </c>
      <c r="B10" s="13" t="s">
        <v>12</v>
      </c>
      <c r="C10" s="13" t="s">
        <v>13</v>
      </c>
      <c r="D10" s="13" t="s">
        <v>14</v>
      </c>
      <c r="E10" s="14" t="s">
        <v>15</v>
      </c>
    </row>
    <row r="11" customFormat="false" ht="18" hidden="false" customHeight="true" outlineLevel="0" collapsed="false">
      <c r="A11" s="9" t="s">
        <v>20</v>
      </c>
      <c r="B11" s="10" t="s">
        <v>12</v>
      </c>
      <c r="C11" s="10" t="s">
        <v>13</v>
      </c>
      <c r="D11" s="10" t="s">
        <v>14</v>
      </c>
      <c r="E11" s="11" t="s">
        <v>15</v>
      </c>
    </row>
    <row r="12" customFormat="false" ht="18" hidden="false" customHeight="true" outlineLevel="0" collapsed="false">
      <c r="A12" s="12" t="s">
        <v>21</v>
      </c>
      <c r="B12" s="13" t="s">
        <v>17</v>
      </c>
      <c r="C12" s="13" t="s">
        <v>13</v>
      </c>
      <c r="D12" s="13" t="s">
        <v>14</v>
      </c>
      <c r="E12" s="14" t="s">
        <v>15</v>
      </c>
    </row>
    <row r="13" customFormat="false" ht="18" hidden="false" customHeight="true" outlineLevel="0" collapsed="false">
      <c r="A13" s="9" t="s">
        <v>22</v>
      </c>
      <c r="B13" s="10" t="s">
        <v>12</v>
      </c>
      <c r="C13" s="10" t="s">
        <v>13</v>
      </c>
      <c r="D13" s="10" t="s">
        <v>14</v>
      </c>
      <c r="E13" s="11" t="s">
        <v>15</v>
      </c>
    </row>
    <row r="14" customFormat="false" ht="18" hidden="false" customHeight="true" outlineLevel="0" collapsed="false">
      <c r="A14" s="12" t="s">
        <v>23</v>
      </c>
      <c r="B14" s="13" t="s">
        <v>24</v>
      </c>
      <c r="C14" s="13" t="s">
        <v>13</v>
      </c>
      <c r="D14" s="13" t="s">
        <v>14</v>
      </c>
      <c r="E14" s="14" t="s">
        <v>15</v>
      </c>
    </row>
    <row r="15" customFormat="false" ht="7.5" hidden="false" customHeight="true" outlineLevel="0" collapsed="false"/>
    <row r="16" customFormat="false" ht="15" hidden="false" customHeight="true" outlineLevel="0" collapsed="false">
      <c r="A16" s="15" t="s">
        <v>25</v>
      </c>
      <c r="B16" s="15"/>
      <c r="C16" s="15"/>
      <c r="D16" s="15"/>
      <c r="E16" s="15"/>
    </row>
    <row r="17" customFormat="false" ht="19.5" hidden="false" customHeight="true" outlineLevel="0" collapsed="false">
      <c r="A17" s="16" t="s">
        <v>6</v>
      </c>
      <c r="B17" s="16" t="s">
        <v>7</v>
      </c>
      <c r="C17" s="16" t="s">
        <v>8</v>
      </c>
      <c r="D17" s="16" t="s">
        <v>9</v>
      </c>
      <c r="E17" s="16" t="s">
        <v>26</v>
      </c>
    </row>
    <row r="18" customFormat="false" ht="18" hidden="false" customHeight="true" outlineLevel="0" collapsed="false">
      <c r="A18" s="17" t="s">
        <v>27</v>
      </c>
      <c r="B18" s="18" t="s">
        <v>28</v>
      </c>
      <c r="C18" s="18" t="s">
        <v>29</v>
      </c>
      <c r="D18" s="18" t="s">
        <v>30</v>
      </c>
      <c r="E18" s="18" t="s">
        <v>31</v>
      </c>
    </row>
    <row r="19" customFormat="false" ht="18" hidden="false" customHeight="true" outlineLevel="0" collapsed="false">
      <c r="A19" s="19" t="s">
        <v>32</v>
      </c>
      <c r="B19" s="20" t="s">
        <v>28</v>
      </c>
      <c r="C19" s="20" t="s">
        <v>33</v>
      </c>
      <c r="D19" s="20" t="s">
        <v>30</v>
      </c>
      <c r="E19" s="20" t="s">
        <v>31</v>
      </c>
    </row>
    <row r="20" customFormat="false" ht="18" hidden="false" customHeight="true" outlineLevel="0" collapsed="false">
      <c r="A20" s="17" t="s">
        <v>34</v>
      </c>
      <c r="B20" s="18" t="s">
        <v>12</v>
      </c>
      <c r="C20" s="18" t="s">
        <v>35</v>
      </c>
      <c r="D20" s="18" t="s">
        <v>36</v>
      </c>
      <c r="E20" s="18" t="s">
        <v>37</v>
      </c>
    </row>
    <row r="21" customFormat="false" ht="18" hidden="false" customHeight="true" outlineLevel="0" collapsed="false">
      <c r="A21" s="19" t="s">
        <v>38</v>
      </c>
      <c r="B21" s="20" t="s">
        <v>12</v>
      </c>
      <c r="C21" s="20" t="s">
        <v>33</v>
      </c>
      <c r="D21" s="20" t="s">
        <v>30</v>
      </c>
      <c r="E21" s="20" t="s">
        <v>31</v>
      </c>
    </row>
    <row r="22" customFormat="false" ht="18" hidden="false" customHeight="true" outlineLevel="0" collapsed="false">
      <c r="A22" s="17" t="s">
        <v>39</v>
      </c>
      <c r="B22" s="18" t="s">
        <v>40</v>
      </c>
      <c r="C22" s="18" t="s">
        <v>41</v>
      </c>
      <c r="D22" s="18" t="s">
        <v>30</v>
      </c>
      <c r="E22" s="18" t="s">
        <v>31</v>
      </c>
    </row>
    <row r="23" customFormat="false" ht="7.5" hidden="false" customHeight="true" outlineLevel="0" collapsed="false"/>
    <row r="24" customFormat="false" ht="15" hidden="false" customHeight="true" outlineLevel="0" collapsed="false">
      <c r="A24" s="7" t="s">
        <v>42</v>
      </c>
      <c r="B24" s="7"/>
      <c r="C24" s="7"/>
      <c r="D24" s="7"/>
      <c r="E24" s="7"/>
    </row>
    <row r="25" customFormat="false" ht="19.5" hidden="false" customHeight="true" outlineLevel="0" collapsed="false">
      <c r="A25" s="21" t="s">
        <v>43</v>
      </c>
      <c r="B25" s="21" t="s">
        <v>44</v>
      </c>
      <c r="C25" s="21" t="s">
        <v>45</v>
      </c>
      <c r="D25" s="21" t="s">
        <v>46</v>
      </c>
      <c r="E25" s="21" t="s">
        <v>47</v>
      </c>
    </row>
    <row r="26" customFormat="false" ht="19.5" hidden="false" customHeight="true" outlineLevel="0" collapsed="false">
      <c r="A26" s="22" t="s">
        <v>48</v>
      </c>
      <c r="B26" s="23" t="s">
        <v>49</v>
      </c>
      <c r="C26" s="24" t="s">
        <v>50</v>
      </c>
      <c r="D26" s="24" t="s">
        <v>50</v>
      </c>
      <c r="E26" s="25" t="s">
        <v>51</v>
      </c>
    </row>
    <row r="27" customFormat="false" ht="19.5" hidden="false" customHeight="true" outlineLevel="0" collapsed="false">
      <c r="A27" s="26" t="s">
        <v>52</v>
      </c>
      <c r="B27" s="27" t="s">
        <v>53</v>
      </c>
      <c r="C27" s="28" t="n">
        <v>35000</v>
      </c>
      <c r="D27" s="29" t="n">
        <f aca="false">C27/130</f>
        <v>269.230769230769</v>
      </c>
      <c r="E27" s="30" t="s">
        <v>54</v>
      </c>
    </row>
    <row r="28" customFormat="false" ht="19.5" hidden="false" customHeight="true" outlineLevel="0" collapsed="false">
      <c r="A28" s="26" t="s">
        <v>55</v>
      </c>
      <c r="B28" s="27" t="s">
        <v>56</v>
      </c>
      <c r="C28" s="28" t="n">
        <v>5000</v>
      </c>
      <c r="D28" s="29" t="n">
        <f aca="false">C28/130</f>
        <v>38.4615384615385</v>
      </c>
      <c r="E28" s="30" t="s">
        <v>57</v>
      </c>
    </row>
    <row r="29" customFormat="false" ht="19.5" hidden="false" customHeight="true" outlineLevel="0" collapsed="false">
      <c r="A29" s="31" t="s">
        <v>58</v>
      </c>
      <c r="B29" s="32"/>
      <c r="C29" s="33" t="n">
        <f aca="false">C27</f>
        <v>35000</v>
      </c>
      <c r="D29" s="34" t="n">
        <f aca="false">C29/130</f>
        <v>269.230769230769</v>
      </c>
      <c r="E29" s="35"/>
    </row>
  </sheetData>
  <mergeCells count="5">
    <mergeCell ref="A1:E1"/>
    <mergeCell ref="A2:E2"/>
    <mergeCell ref="A5:E5"/>
    <mergeCell ref="A16:E16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28"/>
  </cols>
  <sheetData>
    <row r="1" customFormat="false" ht="36" hidden="false" customHeight="true" outlineLevel="0" collapsed="false">
      <c r="A1" s="36" t="s">
        <v>59</v>
      </c>
      <c r="B1" s="36"/>
      <c r="C1" s="36"/>
    </row>
    <row r="2" customFormat="false" ht="19.5" hidden="false" customHeight="true" outlineLevel="0" collapsed="false">
      <c r="A2" s="37" t="s">
        <v>60</v>
      </c>
      <c r="B2" s="37"/>
      <c r="C2" s="37"/>
    </row>
    <row r="3" customFormat="false" ht="19.5" hidden="false" customHeight="true" outlineLevel="0" collapsed="false">
      <c r="A3" s="38" t="s">
        <v>61</v>
      </c>
      <c r="B3" s="38"/>
      <c r="C3" s="38"/>
    </row>
    <row r="4" customFormat="false" ht="19.5" hidden="false" customHeight="true" outlineLevel="0" collapsed="false">
      <c r="A4" s="22" t="s">
        <v>62</v>
      </c>
      <c r="B4" s="39" t="n">
        <v>5000</v>
      </c>
      <c r="C4" s="40" t="s">
        <v>63</v>
      </c>
    </row>
    <row r="5" customFormat="false" ht="19.5" hidden="false" customHeight="true" outlineLevel="0" collapsed="false">
      <c r="A5" s="22" t="s">
        <v>64</v>
      </c>
      <c r="B5" s="41" t="n">
        <v>0.92</v>
      </c>
      <c r="C5" s="40" t="s">
        <v>65</v>
      </c>
    </row>
    <row r="6" customFormat="false" ht="19.5" hidden="false" customHeight="true" outlineLevel="0" collapsed="false">
      <c r="A6" s="22" t="s">
        <v>66</v>
      </c>
      <c r="B6" s="42" t="n">
        <v>1.4</v>
      </c>
      <c r="C6" s="40" t="s">
        <v>67</v>
      </c>
    </row>
    <row r="7" customFormat="false" ht="19.5" hidden="false" customHeight="true" outlineLevel="0" collapsed="false">
      <c r="A7" s="38" t="s">
        <v>68</v>
      </c>
      <c r="B7" s="38"/>
      <c r="C7" s="38"/>
    </row>
    <row r="8" customFormat="false" ht="19.5" hidden="false" customHeight="true" outlineLevel="0" collapsed="false">
      <c r="A8" s="22" t="s">
        <v>69</v>
      </c>
      <c r="B8" s="39" t="n">
        <v>8000</v>
      </c>
      <c r="C8" s="40" t="s">
        <v>70</v>
      </c>
    </row>
    <row r="9" customFormat="false" ht="19.5" hidden="false" customHeight="true" outlineLevel="0" collapsed="false">
      <c r="A9" s="22" t="s">
        <v>71</v>
      </c>
      <c r="B9" s="39" t="n">
        <v>15000</v>
      </c>
      <c r="C9" s="40" t="s">
        <v>72</v>
      </c>
    </row>
    <row r="10" customFormat="false" ht="19.5" hidden="false" customHeight="true" outlineLevel="0" collapsed="false">
      <c r="A10" s="22" t="s">
        <v>73</v>
      </c>
      <c r="B10" s="41" t="n">
        <v>0.98</v>
      </c>
      <c r="C10" s="40" t="s">
        <v>74</v>
      </c>
    </row>
    <row r="11" customFormat="false" ht="19.5" hidden="false" customHeight="true" outlineLevel="0" collapsed="false">
      <c r="A11" s="38" t="s">
        <v>75</v>
      </c>
      <c r="B11" s="38"/>
      <c r="C11" s="38"/>
    </row>
    <row r="12" customFormat="false" ht="19.5" hidden="false" customHeight="true" outlineLevel="0" collapsed="false">
      <c r="A12" s="22" t="s">
        <v>76</v>
      </c>
      <c r="B12" s="43" t="n">
        <v>150</v>
      </c>
      <c r="C12" s="40" t="s">
        <v>77</v>
      </c>
    </row>
    <row r="13" customFormat="false" ht="19.5" hidden="false" customHeight="true" outlineLevel="0" collapsed="false">
      <c r="A13" s="22" t="s">
        <v>78</v>
      </c>
      <c r="B13" s="41" t="n">
        <v>0.35</v>
      </c>
      <c r="C13" s="40" t="s">
        <v>79</v>
      </c>
    </row>
    <row r="14" customFormat="false" ht="19.5" hidden="false" customHeight="true" outlineLevel="0" collapsed="false">
      <c r="A14" s="22" t="s">
        <v>80</v>
      </c>
      <c r="B14" s="41" t="n">
        <v>0.08</v>
      </c>
      <c r="C14" s="40" t="s">
        <v>81</v>
      </c>
    </row>
    <row r="15" customFormat="false" ht="19.5" hidden="false" customHeight="true" outlineLevel="0" collapsed="false">
      <c r="A15" s="22" t="s">
        <v>82</v>
      </c>
      <c r="B15" s="41" t="n">
        <v>0.4</v>
      </c>
      <c r="C15" s="40" t="s">
        <v>83</v>
      </c>
    </row>
    <row r="16" customFormat="false" ht="19.5" hidden="false" customHeight="true" outlineLevel="0" collapsed="false">
      <c r="A16" s="22" t="s">
        <v>84</v>
      </c>
      <c r="B16" s="41" t="n">
        <v>0.3</v>
      </c>
      <c r="C16" s="40" t="s">
        <v>85</v>
      </c>
    </row>
    <row r="17" customFormat="false" ht="19.5" hidden="false" customHeight="true" outlineLevel="0" collapsed="false">
      <c r="A17" s="38" t="s">
        <v>86</v>
      </c>
      <c r="B17" s="38"/>
      <c r="C17" s="38"/>
    </row>
    <row r="18" customFormat="false" ht="19.5" hidden="false" customHeight="true" outlineLevel="0" collapsed="false">
      <c r="A18" s="22" t="s">
        <v>87</v>
      </c>
      <c r="B18" s="43" t="n">
        <v>2000</v>
      </c>
      <c r="C18" s="40" t="s">
        <v>88</v>
      </c>
    </row>
    <row r="19" customFormat="false" ht="19.5" hidden="false" customHeight="true" outlineLevel="0" collapsed="false">
      <c r="A19" s="22" t="s">
        <v>89</v>
      </c>
      <c r="B19" s="41" t="n">
        <v>0.02</v>
      </c>
      <c r="C19" s="40" t="s">
        <v>90</v>
      </c>
    </row>
    <row r="20" customFormat="false" ht="19.5" hidden="false" customHeight="true" outlineLevel="0" collapsed="false">
      <c r="A20" s="22" t="s">
        <v>91</v>
      </c>
      <c r="B20" s="41" t="n">
        <v>0.08</v>
      </c>
      <c r="C20" s="40" t="s">
        <v>92</v>
      </c>
    </row>
    <row r="21" customFormat="false" ht="19.5" hidden="false" customHeight="true" outlineLevel="0" collapsed="false">
      <c r="A21" s="22" t="s">
        <v>93</v>
      </c>
      <c r="B21" s="41" t="n">
        <v>0.12</v>
      </c>
      <c r="C21" s="40" t="s">
        <v>94</v>
      </c>
    </row>
    <row r="22" customFormat="false" ht="19.5" hidden="false" customHeight="true" outlineLevel="0" collapsed="false">
      <c r="A22" s="38" t="s">
        <v>95</v>
      </c>
      <c r="B22" s="38"/>
      <c r="C22" s="38"/>
    </row>
    <row r="23" customFormat="false" ht="19.5" hidden="false" customHeight="true" outlineLevel="0" collapsed="false">
      <c r="A23" s="22" t="s">
        <v>96</v>
      </c>
      <c r="B23" s="39" t="n">
        <v>90000</v>
      </c>
      <c r="C23" s="40" t="s">
        <v>97</v>
      </c>
    </row>
    <row r="24" customFormat="false" ht="19.5" hidden="false" customHeight="true" outlineLevel="0" collapsed="false">
      <c r="A24" s="22" t="s">
        <v>98</v>
      </c>
      <c r="B24" s="39" t="n">
        <v>250</v>
      </c>
      <c r="C24" s="40" t="s">
        <v>99</v>
      </c>
    </row>
    <row r="25" customFormat="false" ht="19.5" hidden="false" customHeight="true" outlineLevel="0" collapsed="false">
      <c r="A25" s="22" t="s">
        <v>100</v>
      </c>
      <c r="B25" s="41" t="n">
        <v>0.15</v>
      </c>
      <c r="C25" s="40" t="s">
        <v>101</v>
      </c>
    </row>
    <row r="26" customFormat="false" ht="19.5" hidden="false" customHeight="true" outlineLevel="0" collapsed="false">
      <c r="A26" s="38" t="s">
        <v>102</v>
      </c>
      <c r="B26" s="38"/>
      <c r="C26" s="38"/>
    </row>
    <row r="27" customFormat="false" ht="19.5" hidden="false" customHeight="true" outlineLevel="0" collapsed="false">
      <c r="A27" s="22" t="s">
        <v>103</v>
      </c>
      <c r="B27" s="43" t="n">
        <v>500</v>
      </c>
      <c r="C27" s="40" t="s">
        <v>104</v>
      </c>
    </row>
    <row r="28" customFormat="false" ht="19.5" hidden="false" customHeight="true" outlineLevel="0" collapsed="false">
      <c r="A28" s="22" t="s">
        <v>105</v>
      </c>
      <c r="B28" s="41" t="n">
        <v>0.85</v>
      </c>
      <c r="C28" s="40" t="s">
        <v>106</v>
      </c>
    </row>
    <row r="29" customFormat="false" ht="19.5" hidden="false" customHeight="true" outlineLevel="0" collapsed="false">
      <c r="A29" s="22" t="s">
        <v>107</v>
      </c>
      <c r="B29" s="41" t="n">
        <v>0.07</v>
      </c>
      <c r="C29" s="40" t="s">
        <v>108</v>
      </c>
    </row>
    <row r="30" customFormat="false" ht="19.5" hidden="false" customHeight="true" outlineLevel="0" collapsed="false">
      <c r="A30" s="22" t="s">
        <v>109</v>
      </c>
      <c r="B30" s="43" t="n">
        <v>30</v>
      </c>
      <c r="C30" s="40" t="s">
        <v>110</v>
      </c>
    </row>
    <row r="31" customFormat="false" ht="19.5" hidden="false" customHeight="true" outlineLevel="0" collapsed="false">
      <c r="A31" s="22" t="s">
        <v>111</v>
      </c>
      <c r="B31" s="41" t="n">
        <v>0.25</v>
      </c>
      <c r="C31" s="40" t="s">
        <v>112</v>
      </c>
    </row>
    <row r="32" customFormat="false" ht="19.5" hidden="false" customHeight="true" outlineLevel="0" collapsed="false">
      <c r="A32" s="38" t="s">
        <v>113</v>
      </c>
      <c r="B32" s="38"/>
      <c r="C32" s="38"/>
    </row>
    <row r="33" customFormat="false" ht="19.5" hidden="false" customHeight="true" outlineLevel="0" collapsed="false">
      <c r="A33" s="22" t="s">
        <v>114</v>
      </c>
      <c r="B33" s="39" t="n">
        <v>90000</v>
      </c>
      <c r="C33" s="40" t="s">
        <v>115</v>
      </c>
    </row>
    <row r="34" customFormat="false" ht="19.5" hidden="false" customHeight="true" outlineLevel="0" collapsed="false">
      <c r="A34" s="22" t="s">
        <v>116</v>
      </c>
      <c r="B34" s="39" t="n">
        <v>8000</v>
      </c>
      <c r="C34" s="40" t="s">
        <v>117</v>
      </c>
    </row>
    <row r="35" customFormat="false" ht="19.5" hidden="false" customHeight="true" outlineLevel="0" collapsed="false">
      <c r="A35" s="22" t="s">
        <v>118</v>
      </c>
      <c r="B35" s="39" t="n">
        <v>1700</v>
      </c>
      <c r="C35" s="40" t="s">
        <v>119</v>
      </c>
    </row>
    <row r="36" customFormat="false" ht="19.5" hidden="false" customHeight="true" outlineLevel="0" collapsed="false">
      <c r="A36" s="22" t="s">
        <v>120</v>
      </c>
      <c r="B36" s="39" t="n">
        <v>2000</v>
      </c>
      <c r="C36" s="40" t="s">
        <v>121</v>
      </c>
    </row>
    <row r="37" customFormat="false" ht="19.5" hidden="false" customHeight="true" outlineLevel="0" collapsed="false">
      <c r="A37" s="22" t="s">
        <v>122</v>
      </c>
      <c r="B37" s="39" t="n">
        <v>35000</v>
      </c>
      <c r="C37" s="40" t="s">
        <v>123</v>
      </c>
    </row>
    <row r="38" customFormat="false" ht="19.5" hidden="false" customHeight="true" outlineLevel="0" collapsed="false">
      <c r="A38" s="22" t="s">
        <v>124</v>
      </c>
      <c r="B38" s="44" t="n">
        <f aca="false">SUM(B34:B37)*0.1</f>
        <v>4670</v>
      </c>
      <c r="C38" s="40" t="n">
        <f aca="false">SUM(B36:B40)*0.1</f>
        <v>4167</v>
      </c>
    </row>
  </sheetData>
  <mergeCells count="9">
    <mergeCell ref="A1:C1"/>
    <mergeCell ref="A2:C2"/>
    <mergeCell ref="A3:C3"/>
    <mergeCell ref="A7:C7"/>
    <mergeCell ref="A11:C11"/>
    <mergeCell ref="A17:C17"/>
    <mergeCell ref="A22:C22"/>
    <mergeCell ref="A26:C26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6"/>
  </cols>
  <sheetData>
    <row r="1" customFormat="false" ht="36" hidden="false" customHeight="true" outlineLevel="0" collapsed="false">
      <c r="A1" s="2" t="s">
        <v>125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21" t="s">
        <v>126</v>
      </c>
      <c r="B2" s="45" t="s">
        <v>127</v>
      </c>
      <c r="C2" s="8" t="s">
        <v>128</v>
      </c>
      <c r="D2" s="46" t="s">
        <v>129</v>
      </c>
      <c r="E2" s="8" t="s">
        <v>130</v>
      </c>
      <c r="F2" s="8" t="s">
        <v>131</v>
      </c>
      <c r="G2" s="21" t="s">
        <v>132</v>
      </c>
    </row>
    <row r="3" customFormat="false" ht="15" hidden="false" customHeight="true" outlineLevel="0" collapsed="false">
      <c r="A3" s="47" t="s">
        <v>133</v>
      </c>
      <c r="B3" s="47"/>
      <c r="C3" s="47"/>
      <c r="D3" s="47"/>
      <c r="E3" s="47"/>
      <c r="F3" s="47"/>
      <c r="G3" s="47"/>
    </row>
    <row r="4" customFormat="false" ht="18" hidden="false" customHeight="true" outlineLevel="0" collapsed="false">
      <c r="A4" s="48" t="s">
        <v>134</v>
      </c>
      <c r="B4" s="49" t="n">
        <f aca="false">INT(Assumptions!B23/Assumptions!B24*Assumptions!B25*0.7)</f>
        <v>37</v>
      </c>
      <c r="C4" s="50" t="n">
        <f aca="false">INT(Assumptions!B23/Assumptions!B24*Assumptions!B25)</f>
        <v>54</v>
      </c>
      <c r="D4" s="51" t="n">
        <f aca="false">INT(Assumptions!B23/Assumptions!B24*Assumptions!B25*1.4)</f>
        <v>75</v>
      </c>
      <c r="E4" s="50" t="n">
        <f aca="false">INT(Assumptions!B23/Assumptions!B24*Assumptions!B25*1.2)</f>
        <v>64</v>
      </c>
      <c r="F4" s="50" t="n">
        <f aca="false">INT(Assumptions!B23/Assumptions!B24*Assumptions!B25*1.5)</f>
        <v>81</v>
      </c>
    </row>
    <row r="5" customFormat="false" ht="18" hidden="false" customHeight="true" outlineLevel="0" collapsed="false">
      <c r="A5" s="48" t="s">
        <v>135</v>
      </c>
      <c r="B5" s="49" t="n">
        <f aca="false">INT(4*Assumptions!B17*Assumptions!B18*Assumptions!B19*Assumptions!B20*0.6)</f>
        <v>0</v>
      </c>
      <c r="C5" s="50" t="n">
        <f aca="false">INT(4*Assumptions!B17*Assumptions!B18*Assumptions!B19*Assumptions!B20)</f>
        <v>0</v>
      </c>
      <c r="D5" s="51" t="n">
        <f aca="false">INT(4*Assumptions!B17*Assumptions!B18*Assumptions!B19*Assumptions!B20*1.8)</f>
        <v>0</v>
      </c>
      <c r="E5" s="50" t="n">
        <f aca="false">INT(4*Assumptions!B17*Assumptions!B18*Assumptions!B19*Assumptions!B20*1.4)</f>
        <v>0</v>
      </c>
      <c r="F5" s="50" t="n">
        <f aca="false">INT(4*Assumptions!B17*Assumptions!B18*Assumptions!B19*Assumptions!B20*2)</f>
        <v>0</v>
      </c>
    </row>
    <row r="6" customFormat="false" ht="18" hidden="false" customHeight="true" outlineLevel="0" collapsed="false">
      <c r="A6" s="48" t="s">
        <v>136</v>
      </c>
      <c r="B6" s="49" t="n">
        <f aca="false">INT(Assumptions!B26*Assumptions!B27*Assumptions!B28*0.6)</f>
        <v>0</v>
      </c>
      <c r="C6" s="50" t="n">
        <f aca="false">INT(Assumptions!B26*Assumptions!B27*Assumptions!B28)</f>
        <v>0</v>
      </c>
      <c r="D6" s="51" t="n">
        <f aca="false">INT(Assumptions!B26*Assumptions!B27*Assumptions!B28*1.5)</f>
        <v>0</v>
      </c>
      <c r="E6" s="50" t="n">
        <f aca="false">INT(Assumptions!B26*Assumptions!B27*Assumptions!B28*1.3)</f>
        <v>0</v>
      </c>
      <c r="F6" s="50" t="n">
        <f aca="false">INT(Assumptions!B26*Assumptions!B27*Assumptions!B28*1.7)</f>
        <v>0</v>
      </c>
    </row>
    <row r="7" customFormat="false" ht="18" hidden="false" customHeight="true" outlineLevel="0" collapsed="false">
      <c r="A7" s="48" t="s">
        <v>137</v>
      </c>
      <c r="B7" s="49" t="n">
        <f aca="false">INT(Assumptions!B29*Assumptions!B30*0.5)</f>
        <v>1</v>
      </c>
      <c r="C7" s="50" t="n">
        <f aca="false">INT(Assumptions!B29*Assumptions!B30)</f>
        <v>2</v>
      </c>
      <c r="D7" s="51" t="n">
        <f aca="false">INT(Assumptions!B29*Assumptions!B30*2)</f>
        <v>4</v>
      </c>
      <c r="E7" s="50" t="n">
        <f aca="false">INT(Assumptions!B29*Assumptions!B30*1.5)</f>
        <v>3</v>
      </c>
      <c r="F7" s="50" t="n">
        <f aca="false">INT(Assumptions!B29*Assumptions!B30*2.5)</f>
        <v>5</v>
      </c>
    </row>
    <row r="8" customFormat="false" ht="19.5" hidden="false" customHeight="true" outlineLevel="0" collapsed="false">
      <c r="A8" s="52" t="s">
        <v>138</v>
      </c>
      <c r="B8" s="53" t="n">
        <f aca="false">SUM(B4:B7)</f>
        <v>38</v>
      </c>
      <c r="C8" s="53" t="n">
        <f aca="false">SUM(C4:C7)</f>
        <v>56</v>
      </c>
      <c r="D8" s="53" t="n">
        <f aca="false">SUM(D4:D7)</f>
        <v>79</v>
      </c>
      <c r="E8" s="53" t="n">
        <f aca="false">SUM(E4:E7)</f>
        <v>67</v>
      </c>
      <c r="F8" s="53" t="n">
        <f aca="false">SUM(F4:F7)</f>
        <v>86</v>
      </c>
      <c r="G8" s="53" t="n">
        <f aca="false">E8+F8+C8</f>
        <v>209</v>
      </c>
    </row>
    <row r="9" customFormat="false" ht="15" hidden="false" customHeight="true" outlineLevel="0" collapsed="false">
      <c r="A9" s="7" t="s">
        <v>139</v>
      </c>
      <c r="B9" s="7"/>
      <c r="C9" s="7"/>
      <c r="D9" s="7"/>
      <c r="E9" s="7"/>
      <c r="F9" s="7"/>
      <c r="G9" s="7"/>
    </row>
    <row r="10" customFormat="false" ht="18" hidden="false" customHeight="true" outlineLevel="0" collapsed="false">
      <c r="A10" s="48" t="s">
        <v>140</v>
      </c>
      <c r="B10" s="49" t="n">
        <f aca="false">INT(Assumptions!B11*Assumptions!B12*0.6)</f>
        <v>0</v>
      </c>
      <c r="C10" s="54" t="n">
        <f aca="false">INT(Assumptions!B11*Assumptions!B12)</f>
        <v>0</v>
      </c>
      <c r="D10" s="51" t="n">
        <f aca="false">INT(Assumptions!B11*Assumptions!B12*1.8)</f>
        <v>0</v>
      </c>
      <c r="E10" s="54" t="n">
        <f aca="false">INT(Assumptions!B11*Assumptions!B12*1.4)</f>
        <v>0</v>
      </c>
      <c r="F10" s="54" t="n">
        <f aca="false">INT(Assumptions!B11*Assumptions!B12*2)</f>
        <v>0</v>
      </c>
    </row>
    <row r="11" customFormat="false" ht="18" hidden="false" customHeight="true" outlineLevel="0" collapsed="false">
      <c r="A11" s="48" t="s">
        <v>141</v>
      </c>
      <c r="B11" s="49" t="n">
        <f aca="false">INT(B10*Assumptions!B13*0.6)</f>
        <v>0</v>
      </c>
      <c r="C11" s="54" t="n">
        <f aca="false">INT(C10*Assumptions!B13)</f>
        <v>0</v>
      </c>
      <c r="D11" s="51" t="n">
        <f aca="false">INT(D10*Assumptions!B13*1.5)</f>
        <v>0</v>
      </c>
      <c r="E11" s="54" t="n">
        <f aca="false">INT(E10*Assumptions!B13)</f>
        <v>0</v>
      </c>
      <c r="F11" s="54" t="n">
        <f aca="false">INT(F10*Assumptions!B13*1.3)</f>
        <v>0</v>
      </c>
    </row>
    <row r="12" customFormat="false" ht="18" hidden="false" customHeight="true" outlineLevel="0" collapsed="false">
      <c r="A12" s="48" t="s">
        <v>142</v>
      </c>
      <c r="B12" s="49" t="n">
        <f aca="false">INT(B11*Assumptions!B14*0.5)</f>
        <v>0</v>
      </c>
      <c r="C12" s="54" t="n">
        <f aca="false">INT(C11*Assumptions!B14)</f>
        <v>0</v>
      </c>
      <c r="D12" s="51" t="n">
        <f aca="false">INT(D11*Assumptions!B14*2)</f>
        <v>0</v>
      </c>
      <c r="E12" s="54" t="n">
        <f aca="false">INT(E11*Assumptions!B14*1.5)</f>
        <v>0</v>
      </c>
      <c r="F12" s="54" t="n">
        <f aca="false">INT(F11*Assumptions!B14*2)</f>
        <v>0</v>
      </c>
      <c r="G12" s="55" t="n">
        <f aca="false">B12+E12+F12</f>
        <v>0</v>
      </c>
    </row>
    <row r="13" customFormat="false" ht="15" hidden="false" customHeight="true" outlineLevel="0" collapsed="false">
      <c r="A13" s="47" t="s">
        <v>143</v>
      </c>
      <c r="B13" s="47"/>
      <c r="C13" s="47"/>
      <c r="D13" s="47"/>
      <c r="E13" s="47"/>
      <c r="F13" s="47"/>
      <c r="G13" s="47"/>
    </row>
    <row r="14" customFormat="false" ht="18" hidden="false" customHeight="true" outlineLevel="0" collapsed="false">
      <c r="A14" s="48" t="s">
        <v>144</v>
      </c>
      <c r="B14" s="56" t="n">
        <f aca="false">B8*Assumptions!B4*Assumptions!B5</f>
        <v>174800</v>
      </c>
      <c r="C14" s="57" t="n">
        <f aca="false">C8*Assumptions!B4*Assumptions!B5</f>
        <v>257600</v>
      </c>
      <c r="D14" s="58" t="n">
        <f aca="false">D8*Assumptions!B4*Assumptions!B5</f>
        <v>363400</v>
      </c>
      <c r="E14" s="57" t="n">
        <f aca="false">E8*Assumptions!B4*Assumptions!B5</f>
        <v>308200</v>
      </c>
      <c r="F14" s="57" t="n">
        <f aca="false">F8*Assumptions!B4*Assumptions!B5</f>
        <v>395600</v>
      </c>
      <c r="G14" s="59" t="n">
        <f aca="false">B14+E14+F14</f>
        <v>878600</v>
      </c>
    </row>
    <row r="15" customFormat="false" ht="18" hidden="false" customHeight="true" outlineLevel="0" collapsed="false">
      <c r="A15" s="48" t="s">
        <v>145</v>
      </c>
      <c r="B15" s="56" t="n">
        <f aca="false">B12*Assumptions!B7*Assumptions!B9</f>
        <v>0</v>
      </c>
      <c r="C15" s="57" t="n">
        <f aca="false">C12*Assumptions!B7*Assumptions!B9</f>
        <v>0</v>
      </c>
      <c r="D15" s="58" t="n">
        <f aca="false">D12*Assumptions!B7*Assumptions!B9</f>
        <v>0</v>
      </c>
      <c r="E15" s="57" t="n">
        <f aca="false">E12*Assumptions!B7*Assumptions!B9</f>
        <v>0</v>
      </c>
      <c r="F15" s="57" t="n">
        <f aca="false">F12*Assumptions!B7*Assumptions!B9</f>
        <v>0</v>
      </c>
      <c r="G15" s="59" t="n">
        <f aca="false">B15+E15+F15</f>
        <v>0</v>
      </c>
    </row>
    <row r="16" customFormat="false" ht="18" hidden="false" customHeight="true" outlineLevel="0" collapsed="false">
      <c r="A16" s="48" t="s">
        <v>146</v>
      </c>
      <c r="B16" s="56" t="n">
        <f aca="false">INT(B11*0.2)*Assumptions!B8</f>
        <v>0</v>
      </c>
      <c r="C16" s="57" t="n">
        <f aca="false">INT(C11*0.2)*Assumptions!B8</f>
        <v>0</v>
      </c>
      <c r="D16" s="58" t="n">
        <f aca="false">INT(D11*0.2)*Assumptions!B8</f>
        <v>0</v>
      </c>
      <c r="E16" s="57" t="n">
        <f aca="false">INT(E11*0.2)*Assumptions!B8</f>
        <v>0</v>
      </c>
      <c r="F16" s="57" t="n">
        <f aca="false">INT(F11*0.2)*Assumptions!B8</f>
        <v>0</v>
      </c>
      <c r="G16" s="59" t="n">
        <f aca="false">B16+E16+F16</f>
        <v>0</v>
      </c>
    </row>
    <row r="17" customFormat="false" ht="21.75" hidden="false" customHeight="true" outlineLevel="0" collapsed="false">
      <c r="A17" s="60" t="s">
        <v>147</v>
      </c>
      <c r="B17" s="61" t="n">
        <f aca="false">SUM(B14:B16)</f>
        <v>174800</v>
      </c>
      <c r="C17" s="61" t="n">
        <f aca="false">SUM(C14:C16)</f>
        <v>257600</v>
      </c>
      <c r="D17" s="61" t="n">
        <f aca="false">SUM(D14:D16)</f>
        <v>363400</v>
      </c>
      <c r="E17" s="61" t="n">
        <f aca="false">SUM(E14:E16)</f>
        <v>308200</v>
      </c>
      <c r="F17" s="61" t="n">
        <f aca="false">SUM(F14:F16)</f>
        <v>395600</v>
      </c>
      <c r="G17" s="61" t="n">
        <f aca="false">SUM(G14:G16)</f>
        <v>878600</v>
      </c>
    </row>
    <row r="18" customFormat="false" ht="15" hidden="false" customHeight="true" outlineLevel="0" collapsed="false">
      <c r="A18" s="62" t="s">
        <v>148</v>
      </c>
      <c r="B18" s="62"/>
      <c r="C18" s="62"/>
      <c r="D18" s="62"/>
      <c r="E18" s="62"/>
      <c r="F18" s="62"/>
      <c r="G18" s="62"/>
    </row>
    <row r="19" customFormat="false" ht="18" hidden="false" customHeight="true" outlineLevel="0" collapsed="false">
      <c r="A19" s="48" t="s">
        <v>149</v>
      </c>
      <c r="B19" s="56" t="n">
        <f aca="false">Assumptions!B23</f>
        <v>90000</v>
      </c>
      <c r="C19" s="56" t="n">
        <f aca="false">Assumptions!B23</f>
        <v>90000</v>
      </c>
      <c r="D19" s="56" t="n">
        <f aca="false">Assumptions!B23</f>
        <v>90000</v>
      </c>
      <c r="E19" s="56" t="n">
        <f aca="false">Assumptions!B23*1.2</f>
        <v>108000</v>
      </c>
      <c r="F19" s="56" t="n">
        <f aca="false">Assumptions!B23*1.4</f>
        <v>126000</v>
      </c>
      <c r="G19" s="63" t="n">
        <f aca="false">B19+E19+F19</f>
        <v>324000</v>
      </c>
    </row>
    <row r="20" customFormat="false" ht="18" hidden="false" customHeight="true" outlineLevel="0" collapsed="false">
      <c r="A20" s="48" t="s">
        <v>150</v>
      </c>
      <c r="B20" s="56" t="n">
        <f aca="false">Assumptions!B34+Assumptions!B35+Assumptions!B36</f>
        <v>11700</v>
      </c>
      <c r="C20" s="56" t="n">
        <f aca="false">Assumptions!B34+Assumptions!B35+Assumptions!B36</f>
        <v>11700</v>
      </c>
      <c r="D20" s="56" t="n">
        <f aca="false">Assumptions!B34+Assumptions!B35+Assumptions!B36</f>
        <v>11700</v>
      </c>
      <c r="E20" s="56" t="n">
        <f aca="false">Assumptions!B34+Assumptions!B35+Assumptions!B36</f>
        <v>11700</v>
      </c>
      <c r="F20" s="56" t="n">
        <f aca="false">Assumptions!B34+Assumptions!B35+Assumptions!B36</f>
        <v>11700</v>
      </c>
      <c r="G20" s="63" t="n">
        <f aca="false">B20+E20+F20</f>
        <v>35100</v>
      </c>
    </row>
    <row r="21" customFormat="false" ht="18" hidden="false" customHeight="true" outlineLevel="0" collapsed="false">
      <c r="A21" s="48" t="s">
        <v>151</v>
      </c>
      <c r="B21" s="56" t="n">
        <f aca="false">Assumptions!B37</f>
        <v>35000</v>
      </c>
      <c r="C21" s="56" t="n">
        <f aca="false">Assumptions!B37</f>
        <v>35000</v>
      </c>
      <c r="D21" s="56" t="n">
        <f aca="false">Assumptions!B37</f>
        <v>35000</v>
      </c>
      <c r="E21" s="56" t="n">
        <f aca="false">Assumptions!B37</f>
        <v>35000</v>
      </c>
      <c r="F21" s="56" t="n">
        <f aca="false">Assumptions!B37</f>
        <v>35000</v>
      </c>
      <c r="G21" s="63" t="n">
        <f aca="false">B21+E21+F21</f>
        <v>105000</v>
      </c>
    </row>
    <row r="22" customFormat="false" ht="18" hidden="false" customHeight="true" outlineLevel="0" collapsed="false">
      <c r="A22" s="48" t="s">
        <v>152</v>
      </c>
      <c r="B22" s="56" t="n">
        <f aca="false">(B19+B20+B21)*0.1</f>
        <v>13670</v>
      </c>
      <c r="C22" s="56" t="n">
        <f aca="false">(C19+C20+C21)*0.1</f>
        <v>13670</v>
      </c>
      <c r="D22" s="56" t="n">
        <f aca="false">(D19+D20+D21)*0.1</f>
        <v>13670</v>
      </c>
      <c r="E22" s="56" t="n">
        <f aca="false">(E19+E20+E21)*0.1</f>
        <v>15470</v>
      </c>
      <c r="F22" s="56" t="n">
        <f aca="false">(F19+F20+F21)*0.1</f>
        <v>17270</v>
      </c>
      <c r="G22" s="63" t="n">
        <f aca="false">B22+E22+F22</f>
        <v>46410</v>
      </c>
    </row>
    <row r="23" customFormat="false" ht="21.75" hidden="false" customHeight="true" outlineLevel="0" collapsed="false">
      <c r="A23" s="64" t="s">
        <v>153</v>
      </c>
      <c r="B23" s="65" t="n">
        <f aca="false">SUM(B19:B22)</f>
        <v>150370</v>
      </c>
      <c r="C23" s="65" t="n">
        <f aca="false">SUM(C19:C22)</f>
        <v>150370</v>
      </c>
      <c r="D23" s="65" t="n">
        <f aca="false">SUM(D19:D22)</f>
        <v>150370</v>
      </c>
      <c r="E23" s="65" t="n">
        <f aca="false">SUM(E19:E22)</f>
        <v>170170</v>
      </c>
      <c r="F23" s="65" t="n">
        <f aca="false">SUM(F19:F22)</f>
        <v>189970</v>
      </c>
      <c r="G23" s="65" t="n">
        <f aca="false">B23+E23+F23</f>
        <v>510510</v>
      </c>
    </row>
    <row r="24" customFormat="false" ht="15" hidden="false" customHeight="true" outlineLevel="0" collapsed="false">
      <c r="A24" s="7" t="s">
        <v>154</v>
      </c>
      <c r="B24" s="7"/>
      <c r="C24" s="7"/>
      <c r="D24" s="7"/>
      <c r="E24" s="7"/>
      <c r="F24" s="7"/>
      <c r="G24" s="7"/>
    </row>
    <row r="25" customFormat="false" ht="19.5" hidden="false" customHeight="true" outlineLevel="0" collapsed="false">
      <c r="A25" s="52" t="s">
        <v>155</v>
      </c>
      <c r="B25" s="59" t="n">
        <f aca="false">B17-B23</f>
        <v>24430</v>
      </c>
      <c r="C25" s="59" t="n">
        <f aca="false">C17-C23</f>
        <v>107230</v>
      </c>
      <c r="D25" s="59" t="n">
        <f aca="false">D17-D23</f>
        <v>213030</v>
      </c>
      <c r="E25" s="59" t="n">
        <f aca="false">E17-E23</f>
        <v>138030</v>
      </c>
      <c r="F25" s="59" t="n">
        <f aca="false">F17-F23</f>
        <v>205630</v>
      </c>
      <c r="G25" s="66" t="n">
        <f aca="false">G17-G23</f>
        <v>368090</v>
      </c>
    </row>
    <row r="26" customFormat="false" ht="19.5" hidden="false" customHeight="true" outlineLevel="0" collapsed="false">
      <c r="A26" s="48" t="s">
        <v>156</v>
      </c>
      <c r="B26" s="67" t="n">
        <f aca="false">B17/B23</f>
        <v>1.16246591740374</v>
      </c>
      <c r="C26" s="67" t="n">
        <f aca="false">C17/C23</f>
        <v>1.71310766775288</v>
      </c>
      <c r="D26" s="67" t="n">
        <f aca="false">D17/D23</f>
        <v>2.41670545986566</v>
      </c>
      <c r="E26" s="67" t="n">
        <f aca="false">E17/E23</f>
        <v>1.81113004642416</v>
      </c>
      <c r="F26" s="67" t="n">
        <f aca="false">F17/F23</f>
        <v>2.08243406853714</v>
      </c>
      <c r="G26" s="68" t="n">
        <f aca="false">G17/G23</f>
        <v>1.72102407396525</v>
      </c>
    </row>
    <row r="27" customFormat="false" ht="19.5" hidden="false" customHeight="true" outlineLevel="0" collapsed="false">
      <c r="A27" s="48" t="s">
        <v>157</v>
      </c>
      <c r="B27" s="69" t="n">
        <f aca="false">(B17-B23)/B23</f>
        <v>0.162465917403737</v>
      </c>
      <c r="C27" s="69" t="n">
        <f aca="false">(C17-C23)/C23</f>
        <v>0.713107667752876</v>
      </c>
      <c r="D27" s="69" t="n">
        <f aca="false">(D17-D23)/D23</f>
        <v>1.41670545986566</v>
      </c>
      <c r="E27" s="69" t="n">
        <f aca="false">(E17-E23)/E23</f>
        <v>0.811130046424164</v>
      </c>
      <c r="F27" s="69" t="n">
        <f aca="false">(F17-F23)/F23</f>
        <v>1.08243406853714</v>
      </c>
      <c r="G27" s="70" t="n">
        <f aca="false">(G17-G23)/G23</f>
        <v>0.721024073965251</v>
      </c>
    </row>
    <row r="28" customFormat="false" ht="19.5" hidden="false" customHeight="true" outlineLevel="0" collapsed="false">
      <c r="A28" s="48" t="s">
        <v>158</v>
      </c>
      <c r="B28" s="71" t="n">
        <f aca="false">IFERROR(B23/B8,0)</f>
        <v>3957.10526315789</v>
      </c>
      <c r="C28" s="71" t="n">
        <f aca="false">IFERROR(C23/C8,0)</f>
        <v>2685.17857142857</v>
      </c>
      <c r="D28" s="71" t="n">
        <f aca="false">IFERROR(D23/D8,0)</f>
        <v>1903.41772151899</v>
      </c>
      <c r="E28" s="71" t="n">
        <f aca="false">IFERROR(E23/E8,0)</f>
        <v>2539.85074626866</v>
      </c>
      <c r="F28" s="71" t="n">
        <f aca="false">IFERROR(F23/F8,0)</f>
        <v>2208.95348837209</v>
      </c>
      <c r="G28" s="66" t="n">
        <f aca="false">IFERROR(G23/G8,0)</f>
        <v>2442.63157894737</v>
      </c>
    </row>
    <row r="29" customFormat="false" ht="19.5" hidden="false" customHeight="true" outlineLevel="0" collapsed="false">
      <c r="A29" s="48" t="s">
        <v>159</v>
      </c>
      <c r="B29" s="71" t="n">
        <f aca="false">IFERROR(B17/B8,0)</f>
        <v>4600</v>
      </c>
      <c r="C29" s="71" t="n">
        <f aca="false">IFERROR(C17/C8,0)</f>
        <v>4600</v>
      </c>
      <c r="D29" s="71" t="n">
        <f aca="false">IFERROR(D17/D8,0)</f>
        <v>4600</v>
      </c>
      <c r="E29" s="71" t="n">
        <f aca="false">IFERROR(E17/E8,0)</f>
        <v>4600</v>
      </c>
      <c r="F29" s="71" t="n">
        <f aca="false">IFERROR(F17/F8,0)</f>
        <v>4600</v>
      </c>
      <c r="G29" s="66" t="n">
        <f aca="false">IFERROR(G17/G8,0)</f>
        <v>4203.82775119617</v>
      </c>
    </row>
  </sheetData>
  <mergeCells count="6">
    <mergeCell ref="A1:G1"/>
    <mergeCell ref="A3:G3"/>
    <mergeCell ref="A9:G9"/>
    <mergeCell ref="A13:G13"/>
    <mergeCell ref="A18:G18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28"/>
  </cols>
  <sheetData>
    <row r="1" customFormat="false" ht="36" hidden="false" customHeight="true" outlineLevel="0" collapsed="false">
      <c r="A1" s="2" t="s">
        <v>160</v>
      </c>
      <c r="B1" s="2"/>
      <c r="C1" s="2"/>
    </row>
    <row r="2" customFormat="false" ht="21.75" hidden="false" customHeight="true" outlineLevel="0" collapsed="false">
      <c r="A2" s="38" t="s">
        <v>161</v>
      </c>
      <c r="B2" s="38"/>
      <c r="C2" s="38"/>
    </row>
    <row r="3" customFormat="false" ht="21.75" hidden="false" customHeight="true" outlineLevel="0" collapsed="false">
      <c r="A3" s="22" t="s">
        <v>162</v>
      </c>
      <c r="B3" s="72" t="n">
        <f aca="false">'90-Day ROI Model'!C23</f>
        <v>150370</v>
      </c>
      <c r="C3" s="73"/>
    </row>
    <row r="4" customFormat="false" ht="21.75" hidden="false" customHeight="true" outlineLevel="0" collapsed="false">
      <c r="A4" s="22" t="s">
        <v>163</v>
      </c>
      <c r="B4" s="72" t="n">
        <f aca="false">Assumptions!B4*Assumptions!B5</f>
        <v>4600</v>
      </c>
      <c r="C4" s="73"/>
    </row>
    <row r="5" customFormat="false" ht="21.75" hidden="false" customHeight="true" outlineLevel="0" collapsed="false">
      <c r="A5" s="22" t="s">
        <v>164</v>
      </c>
      <c r="B5" s="74" t="n">
        <f aca="false">CEILING(B3/B4,1)</f>
        <v>33</v>
      </c>
      <c r="C5" s="73"/>
    </row>
    <row r="6" customFormat="false" ht="21.75" hidden="false" customHeight="true" outlineLevel="0" collapsed="false">
      <c r="A6" s="22" t="s">
        <v>165</v>
      </c>
      <c r="B6" s="75" t="n">
        <f aca="false">'90-Day ROI Model'!C8</f>
        <v>56</v>
      </c>
      <c r="C6" s="73"/>
    </row>
    <row r="7" customFormat="false" ht="21.75" hidden="false" customHeight="true" outlineLevel="0" collapsed="false">
      <c r="A7" s="22" t="s">
        <v>166</v>
      </c>
      <c r="B7" s="11" t="str">
        <f aca="false">IF(B6&gt;=B5,"YES — profitable from Month 1","NO — need more students")</f>
        <v>YES — profitable from Month 1</v>
      </c>
      <c r="C7" s="73"/>
    </row>
    <row r="8" customFormat="false" ht="21.75" hidden="false" customHeight="true" outlineLevel="0" collapsed="false"/>
    <row r="9" customFormat="false" ht="21.75" hidden="false" customHeight="true" outlineLevel="0" collapsed="false">
      <c r="A9" s="38" t="s">
        <v>167</v>
      </c>
      <c r="B9" s="38"/>
      <c r="C9" s="38"/>
    </row>
    <row r="10" customFormat="false" ht="21.75" hidden="false" customHeight="true" outlineLevel="0" collapsed="false">
      <c r="A10" s="22" t="s">
        <v>168</v>
      </c>
      <c r="B10" s="72" t="n">
        <f aca="false">'90-Day ROI Model'!C23</f>
        <v>150370</v>
      </c>
      <c r="C10" s="73"/>
    </row>
    <row r="11" customFormat="false" ht="21.75" hidden="false" customHeight="true" outlineLevel="0" collapsed="false">
      <c r="A11" s="22" t="s">
        <v>169</v>
      </c>
      <c r="B11" s="72" t="n">
        <f aca="false">'90-Day ROI Model'!C17</f>
        <v>257600</v>
      </c>
      <c r="C11" s="73"/>
    </row>
    <row r="12" customFormat="false" ht="21.75" hidden="false" customHeight="true" outlineLevel="0" collapsed="false">
      <c r="A12" s="22" t="s">
        <v>170</v>
      </c>
      <c r="B12" s="72" t="n">
        <f aca="false">B10+'90-Day ROI Model'!E23</f>
        <v>320540</v>
      </c>
      <c r="C12" s="73"/>
    </row>
    <row r="13" customFormat="false" ht="21.75" hidden="false" customHeight="true" outlineLevel="0" collapsed="false">
      <c r="A13" s="22" t="s">
        <v>171</v>
      </c>
      <c r="B13" s="72" t="n">
        <f aca="false">B11+'90-Day ROI Model'!E17</f>
        <v>565800</v>
      </c>
      <c r="C13" s="73"/>
    </row>
    <row r="14" customFormat="false" ht="21.75" hidden="false" customHeight="true" outlineLevel="0" collapsed="false">
      <c r="A14" s="22" t="s">
        <v>172</v>
      </c>
      <c r="B14" s="72" t="n">
        <f aca="false">B12+'90-Day ROI Model'!F23</f>
        <v>510510</v>
      </c>
      <c r="C14" s="73"/>
    </row>
    <row r="15" customFormat="false" ht="21.75" hidden="false" customHeight="true" outlineLevel="0" collapsed="false">
      <c r="A15" s="22" t="s">
        <v>173</v>
      </c>
      <c r="B15" s="72" t="n">
        <f aca="false">B13+'90-Day ROI Model'!F17</f>
        <v>961400</v>
      </c>
      <c r="C15" s="73"/>
    </row>
    <row r="16" customFormat="false" ht="21.75" hidden="false" customHeight="true" outlineLevel="0" collapsed="false">
      <c r="A16" s="22" t="s">
        <v>174</v>
      </c>
      <c r="B16" s="76" t="n">
        <f aca="false">B15-B14</f>
        <v>450890</v>
      </c>
      <c r="C16" s="73"/>
    </row>
    <row r="17" customFormat="false" ht="21.75" hidden="false" customHeight="true" outlineLevel="0" collapsed="false"/>
    <row r="18" customFormat="false" ht="21.75" hidden="false" customHeight="true" outlineLevel="0" collapsed="false">
      <c r="A18" s="38" t="s">
        <v>175</v>
      </c>
      <c r="B18" s="38"/>
      <c r="C18" s="38"/>
    </row>
    <row r="19" customFormat="false" ht="21.75" hidden="false" customHeight="true" outlineLevel="0" collapsed="false">
      <c r="A19" s="22" t="s">
        <v>176</v>
      </c>
      <c r="B19" s="72" t="n">
        <f aca="false">'90-Day ROI Model'!C28</f>
        <v>2685.17857142857</v>
      </c>
      <c r="C19" s="73"/>
    </row>
    <row r="20" customFormat="false" ht="21.75" hidden="false" customHeight="true" outlineLevel="0" collapsed="false">
      <c r="A20" s="22" t="s">
        <v>177</v>
      </c>
      <c r="B20" s="72" t="n">
        <f aca="false">'90-Day ROI Model'!C29</f>
        <v>4600</v>
      </c>
      <c r="C20" s="73"/>
    </row>
    <row r="21" customFormat="false" ht="21.75" hidden="false" customHeight="true" outlineLevel="0" collapsed="false">
      <c r="A21" s="22" t="s">
        <v>178</v>
      </c>
      <c r="B21" s="77" t="n">
        <f aca="false">IFERROR(B20/B19,0)</f>
        <v>1.71310766775288</v>
      </c>
      <c r="C21" s="73"/>
    </row>
    <row r="22" customFormat="false" ht="21.75" hidden="false" customHeight="true" outlineLevel="0" collapsed="false">
      <c r="A22" s="22" t="s">
        <v>179</v>
      </c>
      <c r="B22" s="78" t="n">
        <f aca="false">IFERROR(B19/B20,0)</f>
        <v>0.583734472049689</v>
      </c>
      <c r="C22" s="73"/>
    </row>
  </sheetData>
  <mergeCells count="4">
    <mergeCell ref="A1:C1"/>
    <mergeCell ref="A2:C2"/>
    <mergeCell ref="A9:C9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2026-07-25T22:24:20Z</dcterms:created>
  <dc:creator>openpyxl</dc:creator>
  <dc:description/>
  <dc:language>en-US</dc:language>
  <cp:lastModifiedBy/>
  <dcterms:modified xsi:type="dcterms:W3CDTF">2026-07-25T22:25:42Z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